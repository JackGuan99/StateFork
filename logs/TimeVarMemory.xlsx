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ocuments/Projects/StateFork/logs/"/>
    </mc:Choice>
  </mc:AlternateContent>
  <xr:revisionPtr revIDLastSave="0" documentId="13_ncr:1_{83FC2B14-E0E0-5345-9D6E-C165A19CBE3A}" xr6:coauthVersionLast="47" xr6:coauthVersionMax="47" xr10:uidLastSave="{00000000-0000-0000-0000-000000000000}"/>
  <bookViews>
    <workbookView xWindow="30240" yWindow="-1960" windowWidth="38400" windowHeight="21600" xr2:uid="{58F692CA-A60A-8148-8992-C00D771DA53A}"/>
  </bookViews>
  <sheets>
    <sheet name="Sheet1" sheetId="1" r:id="rId1"/>
  </sheets>
  <definedNames>
    <definedName name="_xlchart.v1.0" hidden="1">Sheet1!$C$2:$C$8</definedName>
    <definedName name="_xlchart.v1.1" hidden="1">Sheet1!$D$1</definedName>
    <definedName name="_xlchart.v1.10" hidden="1">Sheet1!$H$2:$H$8</definedName>
    <definedName name="_xlchart.v1.11" hidden="1">Sheet1!$C$2:$C$8</definedName>
    <definedName name="_xlchart.v1.12" hidden="1">Sheet1!$D$1</definedName>
    <definedName name="_xlchart.v1.13" hidden="1">Sheet1!$D$2:$D$8</definedName>
    <definedName name="_xlchart.v1.14" hidden="1">Sheet1!$E$1</definedName>
    <definedName name="_xlchart.v1.15" hidden="1">Sheet1!$E$2:$E$8</definedName>
    <definedName name="_xlchart.v1.16" hidden="1">Sheet1!$F$1</definedName>
    <definedName name="_xlchart.v1.17" hidden="1">Sheet1!$F$2:$F$8</definedName>
    <definedName name="_xlchart.v1.18" hidden="1">Sheet1!$G$1</definedName>
    <definedName name="_xlchart.v1.19" hidden="1">Sheet1!$G$2:$G$8</definedName>
    <definedName name="_xlchart.v1.2" hidden="1">Sheet1!$D$2:$D$8</definedName>
    <definedName name="_xlchart.v1.20" hidden="1">Sheet1!$H$1</definedName>
    <definedName name="_xlchart.v1.21" hidden="1">Sheet1!$H$2:$H$8</definedName>
    <definedName name="_xlchart.v1.22" hidden="1">Sheet1!$C$2:$C$8</definedName>
    <definedName name="_xlchart.v1.23" hidden="1">Sheet1!$D$1</definedName>
    <definedName name="_xlchart.v1.24" hidden="1">Sheet1!$D$2:$D$8</definedName>
    <definedName name="_xlchart.v1.25" hidden="1">Sheet1!$E$1</definedName>
    <definedName name="_xlchart.v1.26" hidden="1">Sheet1!$E$2:$E$8</definedName>
    <definedName name="_xlchart.v1.27" hidden="1">Sheet1!$F$1</definedName>
    <definedName name="_xlchart.v1.28" hidden="1">Sheet1!$F$2:$F$8</definedName>
    <definedName name="_xlchart.v1.29" hidden="1">Sheet1!$G$1</definedName>
    <definedName name="_xlchart.v1.3" hidden="1">Sheet1!$E$1</definedName>
    <definedName name="_xlchart.v1.30" hidden="1">Sheet1!$G$2:$G$8</definedName>
    <definedName name="_xlchart.v1.31" hidden="1">Sheet1!$H$1</definedName>
    <definedName name="_xlchart.v1.32" hidden="1">Sheet1!$H$2:$H$8</definedName>
    <definedName name="_xlchart.v1.4" hidden="1">Sheet1!$E$2:$E$8</definedName>
    <definedName name="_xlchart.v1.5" hidden="1">Sheet1!$F$1</definedName>
    <definedName name="_xlchart.v1.6" hidden="1">Sheet1!$F$2:$F$8</definedName>
    <definedName name="_xlchart.v1.7" hidden="1">Sheet1!$G$1</definedName>
    <definedName name="_xlchart.v1.8" hidden="1">Sheet1!$G$2:$G$8</definedName>
    <definedName name="_xlchart.v1.9" hidden="1">Sheet1!$H$1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4" i="1"/>
  <c r="C4" i="1"/>
  <c r="B5" i="1"/>
  <c r="C5" i="1"/>
  <c r="B6" i="1"/>
  <c r="C6" i="1"/>
  <c r="B7" i="1"/>
  <c r="C7" i="1"/>
  <c r="B8" i="1"/>
  <c r="C8" i="1"/>
  <c r="C2" i="1"/>
  <c r="B2" i="1"/>
</calcChain>
</file>

<file path=xl/sharedStrings.xml><?xml version="1.0" encoding="utf-8"?>
<sst xmlns="http://schemas.openxmlformats.org/spreadsheetml/2006/main" count="19" uniqueCount="19">
  <si>
    <t>Snapshot (ms)</t>
  </si>
  <si>
    <t>Container (ms)</t>
  </si>
  <si>
    <t>Restore (ms)</t>
  </si>
  <si>
    <t>Time-B (ms)</t>
  </si>
  <si>
    <t>Storage (MB)</t>
  </si>
  <si>
    <t>Average VmSize (KB)</t>
  </si>
  <si>
    <t>Average VmRSS (KB)</t>
  </si>
  <si>
    <t>Numpy Array (MB)</t>
  </si>
  <si>
    <t>VmRSS (MB)</t>
  </si>
  <si>
    <t>VmSize (MB)</t>
  </si>
  <si>
    <t>X Label Helper</t>
  </si>
  <si>
    <t>X Label</t>
  </si>
  <si>
    <t>VmRSS 43 MB; VmSize 106 MB; Numpy Array 0 MB</t>
  </si>
  <si>
    <t>VmRSS 115 MB; VmSize 293 MB; Numpy Array 64 MB</t>
  </si>
  <si>
    <t>VmRSS 182 MB; VmSize 343 MB; Numpy Array 128 MB</t>
  </si>
  <si>
    <t>VmRSS 304 MB; VmSize 485 MB; Numpy Array 256 MB</t>
  </si>
  <si>
    <t>VmRSS 560 MB; VmSize 741 MB; Numpy Array 512 MB</t>
  </si>
  <si>
    <t>VmRSS 1.05 GB; VmSize 1.22 GB; Numpy Array 1 GB</t>
  </si>
  <si>
    <t>VmRSS 2.05 GB; VmSize 2.19 GB; Numpy Array 2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</si>
</sst>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 time of target programs with different memory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Snapshot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Sheet1!$C$2:$C$8</c:f>
              <c:numCache>
                <c:formatCode>#,##0</c:formatCode>
                <c:ptCount val="7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  <c:pt idx="6">
                  <c:v>2098.388671875</c:v>
                </c:pt>
              </c:numCache>
            </c:numRef>
          </c:xVal>
          <c:yVal>
            <c:numRef>
              <c:f>Sheet1!$D$2:$D$8</c:f>
              <c:numCache>
                <c:formatCode>#,##0.000</c:formatCode>
                <c:ptCount val="7"/>
                <c:pt idx="0">
                  <c:v>549.63400000000001</c:v>
                </c:pt>
                <c:pt idx="1">
                  <c:v>825.74300000000005</c:v>
                </c:pt>
                <c:pt idx="2">
                  <c:v>1012.967</c:v>
                </c:pt>
                <c:pt idx="3">
                  <c:v>1852.9179999999999</c:v>
                </c:pt>
                <c:pt idx="4">
                  <c:v>3419.1759999999999</c:v>
                </c:pt>
                <c:pt idx="5">
                  <c:v>7490.2830000000004</c:v>
                </c:pt>
                <c:pt idx="6">
                  <c:v>27071.938999999998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9-6F4C-BBE1-4413BECB6CDB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Container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Sheet1!$C$2:$C$8</c:f>
              <c:numCache>
                <c:formatCode>#,##0</c:formatCode>
                <c:ptCount val="7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  <c:pt idx="6">
                  <c:v>2098.388671875</c:v>
                </c:pt>
              </c:numCache>
            </c:numRef>
          </c:xVal>
          <c:yVal>
            <c:numRef>
              <c:f>Sheet1!$E$2:$E$8</c:f>
              <c:numCache>
                <c:formatCode>#,##0.000</c:formatCode>
                <c:ptCount val="7"/>
                <c:pt idx="0">
                  <c:v>708.18299999999999</c:v>
                </c:pt>
                <c:pt idx="1">
                  <c:v>1040.9069999999999</c:v>
                </c:pt>
                <c:pt idx="2">
                  <c:v>1348.711</c:v>
                </c:pt>
                <c:pt idx="3">
                  <c:v>1846.9259999999999</c:v>
                </c:pt>
                <c:pt idx="4">
                  <c:v>2844.817</c:v>
                </c:pt>
                <c:pt idx="5">
                  <c:v>5688.47</c:v>
                </c:pt>
                <c:pt idx="6">
                  <c:v>15711.916999999999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39-6F4C-BBE1-4413BECB6CDB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Restore (ms)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Sheet1!$C$2:$C$8</c:f>
              <c:numCache>
                <c:formatCode>#,##0</c:formatCode>
                <c:ptCount val="7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  <c:pt idx="6">
                  <c:v>2098.388671875</c:v>
                </c:pt>
              </c:numCache>
            </c:numRef>
          </c:xVal>
          <c:yVal>
            <c:numRef>
              <c:f>Sheet1!$F$2:$F$8</c:f>
              <c:numCache>
                <c:formatCode>#,##0.000</c:formatCode>
                <c:ptCount val="7"/>
                <c:pt idx="0">
                  <c:v>1314.886</c:v>
                </c:pt>
                <c:pt idx="1">
                  <c:v>1716.652</c:v>
                </c:pt>
                <c:pt idx="2">
                  <c:v>1985.335</c:v>
                </c:pt>
                <c:pt idx="3">
                  <c:v>2450.377</c:v>
                </c:pt>
                <c:pt idx="4">
                  <c:v>3648.248</c:v>
                </c:pt>
                <c:pt idx="5">
                  <c:v>6492.9489999999996</c:v>
                </c:pt>
                <c:pt idx="6">
                  <c:v>16150.834000000001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39-6F4C-BBE1-4413BECB6CDB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Time-B (ms)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Sheet1!$C$2:$C$8</c:f>
              <c:numCache>
                <c:formatCode>#,##0</c:formatCode>
                <c:ptCount val="7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  <c:pt idx="6">
                  <c:v>2098.388671875</c:v>
                </c:pt>
              </c:numCache>
            </c:numRef>
          </c:xVal>
          <c:yVal>
            <c:numRef>
              <c:f>Sheet1!$G$2:$G$8</c:f>
              <c:numCache>
                <c:formatCode>#,##0.000</c:formatCode>
                <c:ptCount val="7"/>
                <c:pt idx="0">
                  <c:v>3.427</c:v>
                </c:pt>
                <c:pt idx="1">
                  <c:v>3.4849999999999999</c:v>
                </c:pt>
                <c:pt idx="2">
                  <c:v>3.5630000000000002</c:v>
                </c:pt>
                <c:pt idx="3">
                  <c:v>3.6739999999999999</c:v>
                </c:pt>
                <c:pt idx="4">
                  <c:v>3.6850000000000001</c:v>
                </c:pt>
                <c:pt idx="5">
                  <c:v>3.4049999999999998</c:v>
                </c:pt>
                <c:pt idx="6">
                  <c:v>3.9159999999999999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39-6F4C-BBE1-4413BECB6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715376"/>
        <c:axId val="972621376"/>
      </c:scatterChart>
      <c:valAx>
        <c:axId val="972715376"/>
        <c:scaling>
          <c:orientation val="minMax"/>
          <c:max val="21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VmRss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21376"/>
        <c:crosses val="autoZero"/>
        <c:crossBetween val="midCat"/>
        <c:majorUnit val="100"/>
      </c:valAx>
      <c:valAx>
        <c:axId val="9726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</a:t>
                </a:r>
                <a:r>
                  <a:rPr lang="en-US" sz="1200" baseline="0"/>
                  <a:t> (ms)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15376"/>
        <c:crossesAt val="0"/>
        <c:crossBetween val="midCat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Overhead of target programs with different memory sizes (details)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Snapshot 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Sheet1!$C$2:$C$7</c:f>
              <c:numCache>
                <c:formatCode>#,##0</c:formatCode>
                <c:ptCount val="6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</c:numCache>
            </c:numRef>
          </c:xVal>
          <c:yVal>
            <c:numRef>
              <c:f>Sheet1!$D$2:$D$7</c:f>
              <c:numCache>
                <c:formatCode>#,##0.000</c:formatCode>
                <c:ptCount val="6"/>
                <c:pt idx="0">
                  <c:v>549.63400000000001</c:v>
                </c:pt>
                <c:pt idx="1">
                  <c:v>825.74300000000005</c:v>
                </c:pt>
                <c:pt idx="2">
                  <c:v>1012.967</c:v>
                </c:pt>
                <c:pt idx="3">
                  <c:v>1852.9179999999999</c:v>
                </c:pt>
                <c:pt idx="4">
                  <c:v>3419.1759999999999</c:v>
                </c:pt>
                <c:pt idx="5">
                  <c:v>7490.2830000000004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1-0A41-8F43-0D228433A925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Container (ms)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Sheet1!$C$2:$C$7</c:f>
              <c:numCache>
                <c:formatCode>#,##0</c:formatCode>
                <c:ptCount val="6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</c:numCache>
            </c:numRef>
          </c:xVal>
          <c:yVal>
            <c:numRef>
              <c:f>Sheet1!$E$2:$E$7</c:f>
              <c:numCache>
                <c:formatCode>#,##0.000</c:formatCode>
                <c:ptCount val="6"/>
                <c:pt idx="0">
                  <c:v>708.18299999999999</c:v>
                </c:pt>
                <c:pt idx="1">
                  <c:v>1040.9069999999999</c:v>
                </c:pt>
                <c:pt idx="2">
                  <c:v>1348.711</c:v>
                </c:pt>
                <c:pt idx="3">
                  <c:v>1846.9259999999999</c:v>
                </c:pt>
                <c:pt idx="4">
                  <c:v>2844.817</c:v>
                </c:pt>
                <c:pt idx="5">
                  <c:v>5688.47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1-0A41-8F43-0D228433A925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Restore (ms)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Sheet1!$C$2:$C$7</c:f>
              <c:numCache>
                <c:formatCode>#,##0</c:formatCode>
                <c:ptCount val="6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</c:numCache>
            </c:numRef>
          </c:xVal>
          <c:yVal>
            <c:numRef>
              <c:f>Sheet1!$F$2:$F$7</c:f>
              <c:numCache>
                <c:formatCode>#,##0.000</c:formatCode>
                <c:ptCount val="6"/>
                <c:pt idx="0">
                  <c:v>1314.886</c:v>
                </c:pt>
                <c:pt idx="1">
                  <c:v>1716.652</c:v>
                </c:pt>
                <c:pt idx="2">
                  <c:v>1985.335</c:v>
                </c:pt>
                <c:pt idx="3">
                  <c:v>2450.377</c:v>
                </c:pt>
                <c:pt idx="4">
                  <c:v>3648.248</c:v>
                </c:pt>
                <c:pt idx="5">
                  <c:v>6492.9489999999996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41-0A41-8F43-0D228433A925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Time-B (ms)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Sheet1!$C$2:$C$7</c:f>
              <c:numCache>
                <c:formatCode>#,##0</c:formatCode>
                <c:ptCount val="6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</c:numCache>
            </c:numRef>
          </c:xVal>
          <c:yVal>
            <c:numRef>
              <c:f>Sheet1!$G$2:$G$7</c:f>
              <c:numCache>
                <c:formatCode>#,##0.000</c:formatCode>
                <c:ptCount val="6"/>
                <c:pt idx="0">
                  <c:v>3.427</c:v>
                </c:pt>
                <c:pt idx="1">
                  <c:v>3.4849999999999999</c:v>
                </c:pt>
                <c:pt idx="2">
                  <c:v>3.5630000000000002</c:v>
                </c:pt>
                <c:pt idx="3">
                  <c:v>3.6739999999999999</c:v>
                </c:pt>
                <c:pt idx="4">
                  <c:v>3.6850000000000001</c:v>
                </c:pt>
                <c:pt idx="5">
                  <c:v>3.4049999999999998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41-0A41-8F43-0D228433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715376"/>
        <c:axId val="972621376"/>
      </c:scatterChart>
      <c:scatterChart>
        <c:scatterStyle val="lineMarker"/>
        <c:varyColors val="0"/>
        <c:ser>
          <c:idx val="4"/>
          <c:order val="4"/>
          <c:tx>
            <c:strRef>
              <c:f>Sheet1!$H$1</c:f>
              <c:strCache>
                <c:ptCount val="1"/>
                <c:pt idx="0">
                  <c:v>Storage (MB)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Sheet1!$C$2:$C$7</c:f>
              <c:numCache>
                <c:formatCode>#,##0</c:formatCode>
                <c:ptCount val="6"/>
                <c:pt idx="0">
                  <c:v>42.765625</c:v>
                </c:pt>
                <c:pt idx="1">
                  <c:v>115.3974609375</c:v>
                </c:pt>
                <c:pt idx="2">
                  <c:v>182.265625</c:v>
                </c:pt>
                <c:pt idx="3">
                  <c:v>304.212890625</c:v>
                </c:pt>
                <c:pt idx="4">
                  <c:v>560.228515625</c:v>
                </c:pt>
                <c:pt idx="5">
                  <c:v>1072.216796875</c:v>
                </c:pt>
              </c:numCache>
            </c:numRef>
          </c:xVal>
          <c:yVal>
            <c:numRef>
              <c:f>Sheet1!$H$2:$H$7</c:f>
              <c:numCache>
                <c:formatCode>#,##0.000</c:formatCode>
                <c:ptCount val="6"/>
                <c:pt idx="0">
                  <c:v>6.9390000000000001</c:v>
                </c:pt>
                <c:pt idx="1">
                  <c:v>8.26</c:v>
                </c:pt>
                <c:pt idx="2">
                  <c:v>8.2739999999999991</c:v>
                </c:pt>
                <c:pt idx="3">
                  <c:v>8.3059999999999992</c:v>
                </c:pt>
                <c:pt idx="4">
                  <c:v>8.3460000000000001</c:v>
                </c:pt>
                <c:pt idx="5">
                  <c:v>8.4499999999999993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41-0A41-8F43-0D228433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868768"/>
        <c:axId val="419930992"/>
      </c:scatterChart>
      <c:valAx>
        <c:axId val="972715376"/>
        <c:scaling>
          <c:orientation val="minMax"/>
          <c:max val="1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VmRss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21376"/>
        <c:crosses val="autoZero"/>
        <c:crossBetween val="midCat"/>
        <c:majorUnit val="100"/>
      </c:valAx>
      <c:valAx>
        <c:axId val="9726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Time</a:t>
                </a:r>
                <a:r>
                  <a:rPr lang="en-US" sz="1400" baseline="0"/>
                  <a:t> (ms)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15376"/>
        <c:crossesAt val="0"/>
        <c:crossBetween val="midCat"/>
        <c:majorUnit val="1000"/>
      </c:valAx>
      <c:valAx>
        <c:axId val="419930992"/>
        <c:scaling>
          <c:orientation val="minMax"/>
          <c:min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Size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68768"/>
        <c:crosses val="max"/>
        <c:crossBetween val="midCat"/>
      </c:valAx>
      <c:valAx>
        <c:axId val="41986876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41993099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914400</xdr:colOff>
      <xdr:row>9</xdr:row>
      <xdr:rowOff>31750</xdr:rowOff>
    </xdr:from>
    <xdr:to>
      <xdr:col>27</xdr:col>
      <xdr:colOff>76200</xdr:colOff>
      <xdr:row>58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DDF44-80EC-0F59-3C16-27FFB1FAD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1409700</xdr:colOff>
      <xdr:row>9</xdr:row>
      <xdr:rowOff>0</xdr:rowOff>
    </xdr:from>
    <xdr:to>
      <xdr:col>11</xdr:col>
      <xdr:colOff>127000</xdr:colOff>
      <xdr:row>58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F52AE6-BBF2-6941-9867-FEECFE370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FC72-B432-1B4C-B65F-277D1C452C6D}">
  <dimension ref="A1:L10"/>
  <sheetViews>
    <sheetView tabSelected="1" topLeftCell="F4" workbookViewId="0">
      <selection activeCell="AC37" sqref="AC37"/>
    </sheetView>
  </sheetViews>
  <sheetFormatPr baseColWidth="10" defaultRowHeight="16" x14ac:dyDescent="0.2"/>
  <cols>
    <col min="1" max="10" width="20.83203125" customWidth="1"/>
    <col min="12" max="12" width="50.83203125" customWidth="1"/>
  </cols>
  <sheetData>
    <row r="1" spans="1:12" ht="30" customHeight="1" x14ac:dyDescent="0.2">
      <c r="A1" s="5" t="s">
        <v>7</v>
      </c>
      <c r="B1" s="5" t="s">
        <v>9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s="3" t="s">
        <v>5</v>
      </c>
      <c r="J1" s="3" t="s">
        <v>6</v>
      </c>
      <c r="K1" t="s">
        <v>10</v>
      </c>
      <c r="L1" t="s">
        <v>11</v>
      </c>
    </row>
    <row r="2" spans="1:12" ht="30" customHeight="1" x14ac:dyDescent="0.2">
      <c r="A2" s="6">
        <v>0</v>
      </c>
      <c r="B2" s="6">
        <f>I2/1024</f>
        <v>105.7763671875</v>
      </c>
      <c r="C2" s="2">
        <f>J2/1024</f>
        <v>42.765625</v>
      </c>
      <c r="D2" s="1">
        <v>549.63400000000001</v>
      </c>
      <c r="E2" s="1">
        <v>708.18299999999999</v>
      </c>
      <c r="F2" s="1">
        <v>1314.886</v>
      </c>
      <c r="G2" s="1">
        <v>3.427</v>
      </c>
      <c r="H2" s="1">
        <v>6.9390000000000001</v>
      </c>
      <c r="I2" s="4">
        <v>108315</v>
      </c>
      <c r="J2" s="4">
        <v>43792</v>
      </c>
      <c r="K2" s="1">
        <v>-5000</v>
      </c>
      <c r="L2" t="s">
        <v>12</v>
      </c>
    </row>
    <row r="3" spans="1:12" ht="30" customHeight="1" x14ac:dyDescent="0.2">
      <c r="A3" s="6">
        <v>64</v>
      </c>
      <c r="B3" s="6">
        <f t="shared" ref="B3:B8" si="0">I3/1024</f>
        <v>293.4169921875</v>
      </c>
      <c r="C3" s="2">
        <f t="shared" ref="C3:C8" si="1">J3/1024</f>
        <v>115.3974609375</v>
      </c>
      <c r="D3" s="1">
        <v>825.74300000000005</v>
      </c>
      <c r="E3" s="1">
        <v>1040.9069999999999</v>
      </c>
      <c r="F3" s="1">
        <v>1716.652</v>
      </c>
      <c r="G3" s="1">
        <v>3.4849999999999999</v>
      </c>
      <c r="H3" s="1">
        <v>8.26</v>
      </c>
      <c r="I3" s="4">
        <v>300459</v>
      </c>
      <c r="J3" s="4">
        <v>118167</v>
      </c>
      <c r="K3" s="1">
        <v>-50</v>
      </c>
      <c r="L3" t="s">
        <v>13</v>
      </c>
    </row>
    <row r="4" spans="1:12" ht="30" customHeight="1" x14ac:dyDescent="0.2">
      <c r="A4" s="6">
        <v>128</v>
      </c>
      <c r="B4" s="6">
        <f t="shared" si="0"/>
        <v>342.962890625</v>
      </c>
      <c r="C4" s="2">
        <f t="shared" si="1"/>
        <v>182.265625</v>
      </c>
      <c r="D4" s="1">
        <v>1012.967</v>
      </c>
      <c r="E4" s="1">
        <v>1348.711</v>
      </c>
      <c r="F4" s="1">
        <v>1985.335</v>
      </c>
      <c r="G4" s="1">
        <v>3.5630000000000002</v>
      </c>
      <c r="H4" s="1">
        <v>8.2739999999999991</v>
      </c>
      <c r="I4" s="4">
        <v>351194</v>
      </c>
      <c r="J4" s="4">
        <v>186640</v>
      </c>
      <c r="K4" s="1">
        <v>-50</v>
      </c>
      <c r="L4" t="s">
        <v>14</v>
      </c>
    </row>
    <row r="5" spans="1:12" ht="30" customHeight="1" x14ac:dyDescent="0.2">
      <c r="A5" s="6">
        <v>256</v>
      </c>
      <c r="B5" s="6">
        <f t="shared" si="0"/>
        <v>485.4169921875</v>
      </c>
      <c r="C5" s="2">
        <f t="shared" si="1"/>
        <v>304.212890625</v>
      </c>
      <c r="D5" s="1">
        <v>1852.9179999999999</v>
      </c>
      <c r="E5" s="1">
        <v>1846.9259999999999</v>
      </c>
      <c r="F5" s="1">
        <v>2450.377</v>
      </c>
      <c r="G5" s="1">
        <v>3.6739999999999999</v>
      </c>
      <c r="H5" s="1">
        <v>8.3059999999999992</v>
      </c>
      <c r="I5" s="4">
        <v>497067</v>
      </c>
      <c r="J5" s="4">
        <v>311514</v>
      </c>
      <c r="K5" s="1">
        <v>-50</v>
      </c>
      <c r="L5" t="s">
        <v>15</v>
      </c>
    </row>
    <row r="6" spans="1:12" ht="30" customHeight="1" x14ac:dyDescent="0.2">
      <c r="A6" s="6">
        <v>512</v>
      </c>
      <c r="B6" s="6">
        <f t="shared" si="0"/>
        <v>741.4169921875</v>
      </c>
      <c r="C6" s="2">
        <f t="shared" si="1"/>
        <v>560.228515625</v>
      </c>
      <c r="D6" s="1">
        <v>3419.1759999999999</v>
      </c>
      <c r="E6" s="1">
        <v>2844.817</v>
      </c>
      <c r="F6" s="1">
        <v>3648.248</v>
      </c>
      <c r="G6" s="1">
        <v>3.6850000000000001</v>
      </c>
      <c r="H6" s="1">
        <v>8.3460000000000001</v>
      </c>
      <c r="I6" s="4">
        <v>759211</v>
      </c>
      <c r="J6" s="4">
        <v>573674</v>
      </c>
      <c r="K6" s="1">
        <v>-50</v>
      </c>
      <c r="L6" t="s">
        <v>16</v>
      </c>
    </row>
    <row r="7" spans="1:12" ht="30" customHeight="1" x14ac:dyDescent="0.2">
      <c r="A7" s="6">
        <v>1024</v>
      </c>
      <c r="B7" s="6">
        <f t="shared" si="0"/>
        <v>1253.4169921875</v>
      </c>
      <c r="C7" s="2">
        <f t="shared" si="1"/>
        <v>1072.216796875</v>
      </c>
      <c r="D7" s="1">
        <v>7490.2830000000004</v>
      </c>
      <c r="E7" s="1">
        <v>5688.47</v>
      </c>
      <c r="F7" s="1">
        <v>6492.9489999999996</v>
      </c>
      <c r="G7" s="1">
        <v>3.4049999999999998</v>
      </c>
      <c r="H7" s="1">
        <v>8.4499999999999993</v>
      </c>
      <c r="I7" s="4">
        <v>1283499</v>
      </c>
      <c r="J7" s="4">
        <v>1097950</v>
      </c>
      <c r="K7" s="1">
        <v>-50</v>
      </c>
      <c r="L7" t="s">
        <v>17</v>
      </c>
    </row>
    <row r="8" spans="1:12" ht="30" customHeight="1" x14ac:dyDescent="0.2">
      <c r="A8" s="6">
        <v>2048</v>
      </c>
      <c r="B8" s="6">
        <f t="shared" si="0"/>
        <v>2248.509765625</v>
      </c>
      <c r="C8" s="2">
        <f t="shared" si="1"/>
        <v>2098.388671875</v>
      </c>
      <c r="D8" s="1">
        <v>27071.938999999998</v>
      </c>
      <c r="E8" s="1">
        <v>15711.916999999999</v>
      </c>
      <c r="F8" s="1">
        <v>16150.834000000001</v>
      </c>
      <c r="G8" s="1">
        <v>3.9159999999999999</v>
      </c>
      <c r="H8" s="1">
        <v>8.6370000000000005</v>
      </c>
      <c r="I8" s="4">
        <v>2302474</v>
      </c>
      <c r="J8" s="4">
        <v>2148750</v>
      </c>
      <c r="K8" s="1">
        <v>-50</v>
      </c>
      <c r="L8" t="s">
        <v>18</v>
      </c>
    </row>
    <row r="9" spans="1:12" ht="30" customHeight="1" x14ac:dyDescent="0.2">
      <c r="A9" s="2"/>
      <c r="B9" s="2"/>
      <c r="C9" s="2"/>
      <c r="D9" s="1"/>
      <c r="E9" s="1"/>
      <c r="I9" s="2"/>
      <c r="J9" s="2"/>
    </row>
    <row r="10" spans="1:12" ht="30" customHeight="1" x14ac:dyDescent="0.2">
      <c r="A10" s="2"/>
      <c r="B10" s="2"/>
      <c r="C10" s="2"/>
      <c r="D10" s="1"/>
      <c r="E10" s="1"/>
      <c r="I10" s="2"/>
      <c r="J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ax2155</dc:creator>
  <cp:lastModifiedBy>ax2155</cp:lastModifiedBy>
  <dcterms:created xsi:type="dcterms:W3CDTF">2025-07-11T19:35:11Z</dcterms:created>
  <dcterms:modified xsi:type="dcterms:W3CDTF">2025-07-11T23:36:46Z</dcterms:modified>
</cp:coreProperties>
</file>